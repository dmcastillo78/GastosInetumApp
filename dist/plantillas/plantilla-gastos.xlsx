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/Desktop/Liquidación de gastos/"/>
    </mc:Choice>
  </mc:AlternateContent>
  <xr:revisionPtr revIDLastSave="0" documentId="13_ncr:1_{D302A68B-150B-1E44-9F06-93C7EBF1C1E3}" xr6:coauthVersionLast="47" xr6:coauthVersionMax="47" xr10:uidLastSave="{00000000-0000-0000-0000-000000000000}"/>
  <bookViews>
    <workbookView xWindow="7460" yWindow="3580" windowWidth="34000" windowHeight="19800" tabRatio="500" xr2:uid="{00000000-000D-0000-FFFF-FFFF00000000}"/>
  </bookViews>
  <sheets>
    <sheet name="Principal" sheetId="1" r:id="rId1"/>
    <sheet name="Hoja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9" i="1"/>
  <c r="E10" i="1"/>
  <c r="E11" i="1"/>
  <c r="E12" i="1"/>
  <c r="E13" i="1"/>
  <c r="D3" i="1"/>
  <c r="D17" i="2"/>
  <c r="E35" i="1" l="1"/>
  <c r="D4" i="1"/>
  <c r="D5" i="1"/>
  <c r="D2" i="1"/>
  <c r="F2" i="1"/>
  <c r="D6" i="1" l="1"/>
  <c r="G5" i="1" s="1"/>
</calcChain>
</file>

<file path=xl/sharedStrings.xml><?xml version="1.0" encoding="utf-8"?>
<sst xmlns="http://schemas.openxmlformats.org/spreadsheetml/2006/main" count="58" uniqueCount="28">
  <si>
    <t>Empleado:</t>
  </si>
  <si>
    <t>Desglose por tipo de Gasto</t>
  </si>
  <si>
    <t>Gastos refacturables a clientes</t>
  </si>
  <si>
    <t>Año:</t>
  </si>
  <si>
    <t>Restaurante</t>
  </si>
  <si>
    <t>Mes:</t>
  </si>
  <si>
    <t>Taxi</t>
  </si>
  <si>
    <t>Fecha registro:</t>
  </si>
  <si>
    <t>Varios</t>
  </si>
  <si>
    <t>Anticipo</t>
  </si>
  <si>
    <t>Diferencia</t>
  </si>
  <si>
    <t>Kilometraje</t>
  </si>
  <si>
    <t>Total</t>
  </si>
  <si>
    <t>Rellenar el Excel con el mismo criterio que en Talaris, completando los mismos campos.</t>
  </si>
  <si>
    <t xml:space="preserve">
IMPORTANTE: ESTO NO EXIME DEL ENVÍO DE LOS ORIGINALES POR CORREO POSTAL, como hasta ahora.</t>
  </si>
  <si>
    <t>Obligatorio
 rellenarlo</t>
  </si>
  <si>
    <t>FECHA</t>
  </si>
  <si>
    <t>TIPO GASTO</t>
  </si>
  <si>
    <t>UNIDADES</t>
  </si>
  <si>
    <t>PRECIO</t>
  </si>
  <si>
    <t>IMPORTE</t>
  </si>
  <si>
    <t>DESCRIPCIÓN</t>
  </si>
  <si>
    <t>REFAC.</t>
  </si>
  <si>
    <t>NO</t>
  </si>
  <si>
    <t>v</t>
  </si>
  <si>
    <t>SI</t>
  </si>
  <si>
    <t>Dieta</t>
  </si>
  <si>
    <t>CECO/PEP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</si>
</sst>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;[Red]\-#,##0.00&quot; €&quot;"/>
    <numFmt numFmtId="165" formatCode="d/m/yyyy"/>
  </numFmts>
  <fonts count="9" x14ac:knownFonts="1">
    <font>
      <sz val="11"/>
      <color rgb="FF000000"/>
      <name val="Arial"/>
      <charset val="1"/>
    </font>
    <font>
      <b/>
      <sz val="11"/>
      <color rgb="FF009999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9999"/>
      <name val="Calibri"/>
      <family val="2"/>
      <charset val="1"/>
    </font>
    <font>
      <b/>
      <sz val="9"/>
      <color rgb="FFFF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rgb="FF009999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D9D9D9"/>
      </patternFill>
    </fill>
    <fill>
      <patternFill patternType="solid">
        <fgColor rgb="FF009999"/>
        <bgColor rgb="FF00808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164" fontId="2" fillId="0" borderId="1" xfId="0" applyNumberFormat="1" applyFont="1" applyBorder="1"/>
    <xf numFmtId="165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164" fontId="2" fillId="2" borderId="1" xfId="0" applyNumberFormat="1" applyFont="1" applyFill="1" applyBorder="1"/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/>
    <xf numFmtId="0" fontId="7" fillId="3" borderId="2" xfId="0" applyFont="1" applyFill="1" applyBorder="1"/>
    <xf numFmtId="0" fontId="7" fillId="3" borderId="2" xfId="0" applyFont="1" applyFill="1" applyBorder="1" applyAlignment="1">
      <alignment horizontal="left"/>
    </xf>
    <xf numFmtId="0" fontId="7" fillId="3" borderId="3" xfId="0" applyFont="1" applyFill="1" applyBorder="1"/>
    <xf numFmtId="0" fontId="2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164" fontId="0" fillId="0" borderId="0" xfId="0" applyNumberFormat="1"/>
    <xf numFmtId="14" fontId="2" fillId="0" borderId="4" xfId="0" applyNumberFormat="1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>
      <alignment horizontal="left"/>
    </xf>
    <xf numFmtId="164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14" fontId="2" fillId="0" borderId="5" xfId="0" applyNumberFormat="1" applyFont="1" applyFill="1" applyBorder="1" applyAlignment="1" applyProtection="1">
      <alignment horizontal="left"/>
      <protection locked="0"/>
    </xf>
    <xf numFmtId="0" fontId="2" fillId="0" borderId="6" xfId="0" applyFont="1" applyFill="1" applyBorder="1" applyAlignment="1">
      <alignment horizontal="left"/>
    </xf>
    <xf numFmtId="164" fontId="2" fillId="0" borderId="6" xfId="0" applyNumberFormat="1" applyFont="1" applyFill="1" applyBorder="1" applyAlignment="1">
      <alignment horizontal="left"/>
    </xf>
    <xf numFmtId="0" fontId="2" fillId="0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999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8D8D8"/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73"/>
  <sheetViews>
    <sheetView tabSelected="1" zoomScaleNormal="100" workbookViewId="0">
      <selection activeCell="C34" sqref="C34"/>
    </sheetView>
  </sheetViews>
  <sheetFormatPr baseColWidth="10" defaultColWidth="10.5" defaultRowHeight="14" x14ac:dyDescent="0.15"/>
  <cols>
    <col min="1" max="1" width="14.1640625" customWidth="1"/>
    <col min="2" max="2" width="22.5" customWidth="1"/>
    <col min="3" max="3" width="11.6640625" customWidth="1"/>
    <col min="6" max="6" width="41.6640625" customWidth="1"/>
    <col min="7" max="7" width="56.33203125" customWidth="1"/>
    <col min="8" max="8" width="71.83203125" customWidth="1"/>
  </cols>
  <sheetData>
    <row r="1" spans="1:9" ht="15" x14ac:dyDescent="0.2">
      <c r="A1" s="1" t="s">
        <v>0</v>
      </c>
      <c r="B1" s="16"/>
      <c r="C1" s="1" t="s">
        <v>1</v>
      </c>
      <c r="F1" s="1" t="s">
        <v>2</v>
      </c>
    </row>
    <row r="2" spans="1:9" ht="15" x14ac:dyDescent="0.2">
      <c r="A2" s="1" t="s">
        <v>3</v>
      </c>
      <c r="B2" s="16"/>
      <c r="C2" s="2" t="s">
        <v>4</v>
      </c>
      <c r="D2" s="3">
        <f>+SUMIF(B9:B87,C2,E9:E87)</f>
        <v>0</v>
      </c>
      <c r="F2" s="3">
        <f>+SUMIF(I9:I87,"si",E9:E87)</f>
        <v>0</v>
      </c>
    </row>
    <row r="3" spans="1:9" ht="15" x14ac:dyDescent="0.2">
      <c r="A3" s="1" t="s">
        <v>5</v>
      </c>
      <c r="B3" s="17"/>
      <c r="C3" s="2" t="s">
        <v>6</v>
      </c>
      <c r="D3" s="3">
        <f>+SUMIF(B9:B87,C3,E9:E87)</f>
        <v>0</v>
      </c>
    </row>
    <row r="4" spans="1:9" ht="15" x14ac:dyDescent="0.2">
      <c r="A4" s="1" t="s">
        <v>7</v>
      </c>
      <c r="B4" s="4"/>
      <c r="C4" s="2" t="s">
        <v>8</v>
      </c>
      <c r="D4" s="3">
        <f>+SUMIF(B9:B87,C4,E9:E87)</f>
        <v>0</v>
      </c>
      <c r="F4" s="5" t="s">
        <v>9</v>
      </c>
      <c r="G4" s="5" t="s">
        <v>10</v>
      </c>
    </row>
    <row r="5" spans="1:9" ht="15" x14ac:dyDescent="0.2">
      <c r="C5" s="2" t="s">
        <v>11</v>
      </c>
      <c r="D5" s="3">
        <f>+SUMIF(B9:B87,C5,E9:E87)</f>
        <v>0</v>
      </c>
      <c r="F5" s="6"/>
      <c r="G5" s="6">
        <f>D6-F5</f>
        <v>0</v>
      </c>
    </row>
    <row r="6" spans="1:9" ht="15" x14ac:dyDescent="0.2">
      <c r="C6" s="7" t="s">
        <v>12</v>
      </c>
      <c r="D6" s="8">
        <f>+SUM(D2:D5)</f>
        <v>0</v>
      </c>
    </row>
    <row r="7" spans="1:9" ht="65" x14ac:dyDescent="0.15">
      <c r="A7" s="9" t="s">
        <v>13</v>
      </c>
      <c r="B7" s="10"/>
      <c r="C7" s="11"/>
      <c r="D7" s="10"/>
      <c r="E7" s="10"/>
      <c r="F7" s="10"/>
      <c r="G7" s="9" t="s">
        <v>14</v>
      </c>
      <c r="H7" s="10"/>
      <c r="I7" s="9" t="s">
        <v>15</v>
      </c>
    </row>
    <row r="8" spans="1:9" ht="15" x14ac:dyDescent="0.2">
      <c r="A8" s="13" t="s">
        <v>16</v>
      </c>
      <c r="B8" s="14" t="s">
        <v>17</v>
      </c>
      <c r="C8" s="13" t="s">
        <v>18</v>
      </c>
      <c r="D8" s="15" t="s">
        <v>19</v>
      </c>
      <c r="E8" s="13" t="s">
        <v>20</v>
      </c>
      <c r="F8" s="13" t="s">
        <v>27</v>
      </c>
      <c r="G8" s="13"/>
      <c r="H8" s="13" t="s">
        <v>21</v>
      </c>
      <c r="I8" s="13" t="s">
        <v>22</v>
      </c>
    </row>
    <row r="9" spans="1:9" ht="15" x14ac:dyDescent="0.2">
      <c r="A9" s="19"/>
      <c r="B9" s="20"/>
      <c r="C9" s="20">
        <v>1</v>
      </c>
      <c r="D9" s="21"/>
      <c r="E9" s="21">
        <f t="shared" ref="E9:E34" si="0">C9*D9</f>
        <v>0</v>
      </c>
      <c r="F9" s="20"/>
      <c r="G9" s="20"/>
      <c r="H9" s="20"/>
      <c r="I9" s="20" t="s">
        <v>23</v>
      </c>
    </row>
    <row r="10" spans="1:9" ht="15" x14ac:dyDescent="0.2">
      <c r="A10" s="19"/>
      <c r="B10" s="20"/>
      <c r="C10" s="20">
        <v>1</v>
      </c>
      <c r="D10" s="21"/>
      <c r="E10" s="21">
        <f t="shared" si="0"/>
        <v>0</v>
      </c>
      <c r="F10" s="20"/>
      <c r="G10" s="20"/>
      <c r="H10" s="20"/>
      <c r="I10" s="20" t="s">
        <v>23</v>
      </c>
    </row>
    <row r="11" spans="1:9" ht="15" x14ac:dyDescent="0.2">
      <c r="A11" s="19"/>
      <c r="B11" s="20"/>
      <c r="C11" s="20">
        <v>1</v>
      </c>
      <c r="D11" s="21"/>
      <c r="E11" s="21">
        <f t="shared" ref="E11" si="1">C11*D11</f>
        <v>0</v>
      </c>
      <c r="F11" s="20"/>
      <c r="G11" s="20"/>
      <c r="H11" s="20"/>
      <c r="I11" s="20" t="s">
        <v>23</v>
      </c>
    </row>
    <row r="12" spans="1:9" ht="15" x14ac:dyDescent="0.2">
      <c r="A12" s="19"/>
      <c r="B12" s="20"/>
      <c r="C12" s="20">
        <v>1</v>
      </c>
      <c r="D12" s="21"/>
      <c r="E12" s="21">
        <f t="shared" ref="E12" si="2">C12*D12</f>
        <v>0</v>
      </c>
      <c r="F12" s="20"/>
      <c r="G12" s="20"/>
      <c r="H12" s="20"/>
      <c r="I12" s="20" t="s">
        <v>23</v>
      </c>
    </row>
    <row r="13" spans="1:9" ht="15" x14ac:dyDescent="0.2">
      <c r="A13" s="19"/>
      <c r="B13" s="20"/>
      <c r="C13" s="20">
        <v>1</v>
      </c>
      <c r="D13" s="21"/>
      <c r="E13" s="21">
        <f t="shared" si="0"/>
        <v>0</v>
      </c>
      <c r="F13" s="20"/>
      <c r="G13" s="20"/>
      <c r="H13" s="20"/>
      <c r="I13" s="20" t="s">
        <v>23</v>
      </c>
    </row>
    <row r="14" spans="1:9" ht="15" x14ac:dyDescent="0.2">
      <c r="A14" s="19"/>
      <c r="B14" s="20"/>
      <c r="C14" s="20">
        <v>1</v>
      </c>
      <c r="D14" s="21"/>
      <c r="E14" s="21">
        <f t="shared" si="0"/>
        <v>0</v>
      </c>
      <c r="F14" s="20"/>
      <c r="G14" s="20"/>
      <c r="H14" s="20"/>
      <c r="I14" s="20" t="s">
        <v>23</v>
      </c>
    </row>
    <row r="15" spans="1:9" ht="15" x14ac:dyDescent="0.2">
      <c r="A15" s="19"/>
      <c r="B15" s="20"/>
      <c r="C15" s="20">
        <v>1</v>
      </c>
      <c r="D15" s="21"/>
      <c r="E15" s="21">
        <f t="shared" si="0"/>
        <v>0</v>
      </c>
      <c r="F15" s="20"/>
      <c r="G15" s="20"/>
      <c r="H15" s="20"/>
      <c r="I15" s="20" t="s">
        <v>23</v>
      </c>
    </row>
    <row r="16" spans="1:9" ht="15" x14ac:dyDescent="0.2">
      <c r="A16" s="19"/>
      <c r="B16" s="20"/>
      <c r="C16" s="20">
        <v>1</v>
      </c>
      <c r="D16" s="21"/>
      <c r="E16" s="21">
        <f t="shared" si="0"/>
        <v>0</v>
      </c>
      <c r="F16" s="20"/>
      <c r="G16" s="20"/>
      <c r="H16" s="20"/>
      <c r="I16" s="20" t="s">
        <v>23</v>
      </c>
    </row>
    <row r="17" spans="1:9" ht="15" x14ac:dyDescent="0.2">
      <c r="A17" s="19"/>
      <c r="B17" s="20"/>
      <c r="C17" s="20">
        <v>1</v>
      </c>
      <c r="D17" s="21"/>
      <c r="E17" s="21">
        <f t="shared" si="0"/>
        <v>0</v>
      </c>
      <c r="F17" s="20"/>
      <c r="G17" s="20"/>
      <c r="H17" s="20"/>
      <c r="I17" s="20" t="s">
        <v>23</v>
      </c>
    </row>
    <row r="18" spans="1:9" ht="15" x14ac:dyDescent="0.2">
      <c r="A18" s="19"/>
      <c r="B18" s="20"/>
      <c r="C18" s="20">
        <v>1</v>
      </c>
      <c r="D18" s="21"/>
      <c r="E18" s="21">
        <f t="shared" si="0"/>
        <v>0</v>
      </c>
      <c r="F18" s="20"/>
      <c r="G18" s="20"/>
      <c r="H18" s="20"/>
      <c r="I18" s="20" t="s">
        <v>23</v>
      </c>
    </row>
    <row r="19" spans="1:9" ht="15" x14ac:dyDescent="0.2">
      <c r="A19" s="19"/>
      <c r="B19" s="20"/>
      <c r="C19" s="20">
        <v>1</v>
      </c>
      <c r="D19" s="21"/>
      <c r="E19" s="21">
        <f t="shared" si="0"/>
        <v>0</v>
      </c>
      <c r="F19" s="20"/>
      <c r="G19" s="20"/>
      <c r="H19" s="20"/>
      <c r="I19" s="20" t="s">
        <v>23</v>
      </c>
    </row>
    <row r="20" spans="1:9" ht="15" x14ac:dyDescent="0.2">
      <c r="A20" s="19"/>
      <c r="B20" s="20"/>
      <c r="C20" s="20">
        <v>1</v>
      </c>
      <c r="D20" s="21"/>
      <c r="E20" s="21">
        <f t="shared" si="0"/>
        <v>0</v>
      </c>
      <c r="F20" s="20"/>
      <c r="G20" s="20"/>
      <c r="H20" s="20"/>
      <c r="I20" s="20" t="s">
        <v>23</v>
      </c>
    </row>
    <row r="21" spans="1:9" ht="15" x14ac:dyDescent="0.2">
      <c r="A21" s="19"/>
      <c r="B21" s="20"/>
      <c r="C21" s="20">
        <v>1</v>
      </c>
      <c r="D21" s="21"/>
      <c r="E21" s="21">
        <f t="shared" si="0"/>
        <v>0</v>
      </c>
      <c r="F21" s="20"/>
      <c r="G21" s="20"/>
      <c r="H21" s="20"/>
      <c r="I21" s="20" t="s">
        <v>23</v>
      </c>
    </row>
    <row r="22" spans="1:9" ht="15" x14ac:dyDescent="0.2">
      <c r="A22" s="19"/>
      <c r="B22" s="20"/>
      <c r="C22" s="20">
        <v>1</v>
      </c>
      <c r="D22" s="21"/>
      <c r="E22" s="21">
        <f t="shared" si="0"/>
        <v>0</v>
      </c>
      <c r="F22" s="20"/>
      <c r="G22" s="20"/>
      <c r="H22" s="20"/>
      <c r="I22" s="20" t="s">
        <v>23</v>
      </c>
    </row>
    <row r="23" spans="1:9" ht="15" x14ac:dyDescent="0.2">
      <c r="A23" s="19"/>
      <c r="B23" s="20"/>
      <c r="C23" s="20">
        <v>1</v>
      </c>
      <c r="D23" s="21"/>
      <c r="E23" s="21">
        <f t="shared" si="0"/>
        <v>0</v>
      </c>
      <c r="F23" s="20"/>
      <c r="G23" s="20"/>
      <c r="H23" s="20"/>
      <c r="I23" s="20" t="s">
        <v>23</v>
      </c>
    </row>
    <row r="24" spans="1:9" ht="15" x14ac:dyDescent="0.2">
      <c r="A24" s="19"/>
      <c r="B24" s="20"/>
      <c r="C24" s="20">
        <v>1</v>
      </c>
      <c r="D24" s="21"/>
      <c r="E24" s="21">
        <f t="shared" si="0"/>
        <v>0</v>
      </c>
      <c r="F24" s="20"/>
      <c r="G24" s="20"/>
      <c r="H24" s="20"/>
      <c r="I24" s="20" t="s">
        <v>23</v>
      </c>
    </row>
    <row r="25" spans="1:9" ht="15" x14ac:dyDescent="0.2">
      <c r="A25" s="19"/>
      <c r="B25" s="20"/>
      <c r="C25" s="20">
        <v>1</v>
      </c>
      <c r="D25" s="21"/>
      <c r="E25" s="21">
        <f t="shared" si="0"/>
        <v>0</v>
      </c>
      <c r="F25" s="20"/>
      <c r="G25" s="22"/>
      <c r="H25" s="20"/>
      <c r="I25" s="20" t="s">
        <v>23</v>
      </c>
    </row>
    <row r="26" spans="1:9" ht="15" x14ac:dyDescent="0.2">
      <c r="A26" s="19"/>
      <c r="B26" s="20"/>
      <c r="C26" s="20">
        <v>1</v>
      </c>
      <c r="D26" s="21"/>
      <c r="E26" s="21">
        <f t="shared" si="0"/>
        <v>0</v>
      </c>
      <c r="F26" s="20"/>
      <c r="G26" s="22"/>
      <c r="H26" s="20"/>
      <c r="I26" s="20" t="s">
        <v>23</v>
      </c>
    </row>
    <row r="27" spans="1:9" ht="15" x14ac:dyDescent="0.2">
      <c r="A27" s="19"/>
      <c r="B27" s="20"/>
      <c r="C27" s="20">
        <v>1</v>
      </c>
      <c r="D27" s="21"/>
      <c r="E27" s="21">
        <f t="shared" si="0"/>
        <v>0</v>
      </c>
      <c r="F27" s="20"/>
      <c r="G27" s="22"/>
      <c r="H27" s="20"/>
      <c r="I27" s="20" t="s">
        <v>23</v>
      </c>
    </row>
    <row r="28" spans="1:9" ht="15" x14ac:dyDescent="0.2">
      <c r="A28" s="19"/>
      <c r="B28" s="20"/>
      <c r="C28" s="20">
        <v>1</v>
      </c>
      <c r="D28" s="21"/>
      <c r="E28" s="21">
        <f t="shared" si="0"/>
        <v>0</v>
      </c>
      <c r="F28" s="20"/>
      <c r="G28" s="22"/>
      <c r="H28" s="20"/>
      <c r="I28" s="20" t="s">
        <v>23</v>
      </c>
    </row>
    <row r="29" spans="1:9" ht="15" x14ac:dyDescent="0.2">
      <c r="A29" s="19"/>
      <c r="B29" s="20"/>
      <c r="C29" s="20">
        <v>1</v>
      </c>
      <c r="D29" s="21"/>
      <c r="E29" s="21">
        <f t="shared" si="0"/>
        <v>0</v>
      </c>
      <c r="F29" s="20"/>
      <c r="G29" s="20"/>
      <c r="H29" s="20"/>
      <c r="I29" s="20" t="s">
        <v>23</v>
      </c>
    </row>
    <row r="30" spans="1:9" ht="15" x14ac:dyDescent="0.2">
      <c r="A30" s="19"/>
      <c r="B30" s="20"/>
      <c r="C30" s="20">
        <v>1</v>
      </c>
      <c r="D30" s="21"/>
      <c r="E30" s="21">
        <f t="shared" si="0"/>
        <v>0</v>
      </c>
      <c r="F30" s="20"/>
      <c r="G30" s="20"/>
      <c r="H30" s="20"/>
      <c r="I30" s="20" t="s">
        <v>23</v>
      </c>
    </row>
    <row r="31" spans="1:9" ht="15" x14ac:dyDescent="0.2">
      <c r="A31" s="19"/>
      <c r="B31" s="20"/>
      <c r="C31" s="20">
        <v>1</v>
      </c>
      <c r="D31" s="21"/>
      <c r="E31" s="21">
        <f t="shared" si="0"/>
        <v>0</v>
      </c>
      <c r="F31" s="20"/>
      <c r="G31" s="20"/>
      <c r="H31" s="20"/>
      <c r="I31" s="20" t="s">
        <v>23</v>
      </c>
    </row>
    <row r="32" spans="1:9" ht="15" x14ac:dyDescent="0.2">
      <c r="A32" s="19"/>
      <c r="B32" s="20"/>
      <c r="C32" s="20">
        <v>1</v>
      </c>
      <c r="D32" s="21"/>
      <c r="E32" s="21">
        <f t="shared" si="0"/>
        <v>0</v>
      </c>
      <c r="F32" s="20"/>
      <c r="G32" s="22"/>
      <c r="H32" s="20"/>
      <c r="I32" s="20" t="s">
        <v>23</v>
      </c>
    </row>
    <row r="33" spans="1:9" ht="15" x14ac:dyDescent="0.2">
      <c r="A33" s="19"/>
      <c r="B33" s="20"/>
      <c r="C33" s="20">
        <v>1</v>
      </c>
      <c r="D33" s="21"/>
      <c r="E33" s="21">
        <f t="shared" si="0"/>
        <v>0</v>
      </c>
      <c r="F33" s="20"/>
      <c r="G33" s="22"/>
      <c r="H33" s="20"/>
      <c r="I33" s="20" t="s">
        <v>23</v>
      </c>
    </row>
    <row r="34" spans="1:9" ht="16" thickBot="1" x14ac:dyDescent="0.25">
      <c r="A34" s="23"/>
      <c r="B34" s="24"/>
      <c r="C34" s="20">
        <v>1</v>
      </c>
      <c r="D34" s="25"/>
      <c r="E34" s="21">
        <f t="shared" si="0"/>
        <v>0</v>
      </c>
      <c r="F34" s="24"/>
      <c r="G34" s="26"/>
      <c r="H34" s="24"/>
      <c r="I34" s="20" t="s">
        <v>23</v>
      </c>
    </row>
    <row r="35" spans="1:9" x14ac:dyDescent="0.15">
      <c r="E35" s="18">
        <f>SUM(E9:E34)</f>
        <v>0</v>
      </c>
    </row>
    <row r="1048573" spans="7:7" x14ac:dyDescent="0.15">
      <c r="G1048573" t="s">
        <v>24</v>
      </c>
    </row>
  </sheetData>
  <phoneticPr fontId="8" type="noConversion"/>
  <dataValidations count="1">
    <dataValidation type="date" operator="equal" allowBlank="1" showErrorMessage="1" sqref="A8" xr:uid="{00000000-0002-0000-0000-000000000000}">
      <formula1>44136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B747395-C6F8-4B82-A0BD-C5F53E5CEA59}">
          <x14:formula1>
            <xm:f>Hoja2!$C$1:$C$2</xm:f>
          </x14:formula1>
          <x14:formula2>
            <xm:f>0</xm:f>
          </x14:formula2>
          <xm:sqref>I9:I34</xm:sqref>
        </x14:dataValidation>
        <x14:dataValidation type="list" allowBlank="1" showInputMessage="1" showErrorMessage="1" xr:uid="{00000000-0002-0000-0000-000002000000}">
          <x14:formula1>
            <xm:f>Hoja2!$B$1:$B$5</xm:f>
          </x14:formula1>
          <xm:sqref>B9:B34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zoomScaleNormal="100" workbookViewId="0">
      <selection activeCell="B6" sqref="B6"/>
    </sheetView>
  </sheetViews>
  <sheetFormatPr baseColWidth="10" defaultColWidth="12.5" defaultRowHeight="14" x14ac:dyDescent="0.15"/>
  <cols>
    <col min="1" max="1" width="9.33203125" customWidth="1"/>
    <col min="2" max="2" width="12" customWidth="1"/>
    <col min="3" max="4" width="6.1640625" customWidth="1"/>
    <col min="5" max="26" width="9.33203125" customWidth="1"/>
  </cols>
  <sheetData>
    <row r="1" spans="2:4" ht="15" x14ac:dyDescent="0.2">
      <c r="B1" s="12" t="s">
        <v>4</v>
      </c>
      <c r="C1" s="12" t="s">
        <v>25</v>
      </c>
      <c r="D1" s="12">
        <v>1</v>
      </c>
    </row>
    <row r="2" spans="2:4" ht="15" x14ac:dyDescent="0.2">
      <c r="B2" s="12" t="s">
        <v>6</v>
      </c>
      <c r="C2" s="12" t="s">
        <v>23</v>
      </c>
      <c r="D2" s="12">
        <v>2</v>
      </c>
    </row>
    <row r="3" spans="2:4" ht="15" x14ac:dyDescent="0.2">
      <c r="B3" s="12" t="s">
        <v>8</v>
      </c>
      <c r="D3" s="12">
        <v>3</v>
      </c>
    </row>
    <row r="4" spans="2:4" ht="15" x14ac:dyDescent="0.2">
      <c r="B4" s="12" t="s">
        <v>11</v>
      </c>
      <c r="D4" s="12">
        <v>4</v>
      </c>
    </row>
    <row r="5" spans="2:4" ht="15" x14ac:dyDescent="0.2">
      <c r="B5" s="12" t="s">
        <v>26</v>
      </c>
      <c r="D5" s="12">
        <v>5</v>
      </c>
    </row>
    <row r="6" spans="2:4" ht="15" x14ac:dyDescent="0.2">
      <c r="B6" s="12"/>
      <c r="D6" s="12">
        <v>6</v>
      </c>
    </row>
    <row r="7" spans="2:4" ht="15" x14ac:dyDescent="0.2">
      <c r="B7" s="12"/>
      <c r="D7" s="12">
        <v>7</v>
      </c>
    </row>
    <row r="8" spans="2:4" ht="15" x14ac:dyDescent="0.2">
      <c r="B8" s="12"/>
      <c r="D8" s="12">
        <v>8</v>
      </c>
    </row>
    <row r="9" spans="2:4" ht="15" x14ac:dyDescent="0.2">
      <c r="B9" s="12"/>
      <c r="D9" s="12">
        <v>9</v>
      </c>
    </row>
    <row r="10" spans="2:4" ht="15" x14ac:dyDescent="0.2">
      <c r="B10" s="12"/>
      <c r="D10" s="12">
        <v>10</v>
      </c>
    </row>
    <row r="11" spans="2:4" ht="15" x14ac:dyDescent="0.2">
      <c r="B11" s="12"/>
      <c r="D11" s="12">
        <v>11</v>
      </c>
    </row>
    <row r="12" spans="2:4" ht="15" x14ac:dyDescent="0.2">
      <c r="B12" s="12"/>
      <c r="D12" s="12">
        <v>12</v>
      </c>
    </row>
    <row r="13" spans="2:4" ht="15" x14ac:dyDescent="0.2">
      <c r="B13" s="12"/>
      <c r="D13" s="12">
        <v>13</v>
      </c>
    </row>
    <row r="14" spans="2:4" ht="15" x14ac:dyDescent="0.2">
      <c r="B14" s="12"/>
      <c r="D14" s="12">
        <v>14</v>
      </c>
    </row>
    <row r="15" spans="2:4" ht="15" x14ac:dyDescent="0.2">
      <c r="B15" s="12"/>
      <c r="D15" s="12">
        <v>15</v>
      </c>
    </row>
    <row r="16" spans="2:4" ht="15" x14ac:dyDescent="0.2">
      <c r="B16" s="12"/>
      <c r="D16" s="12">
        <v>16</v>
      </c>
    </row>
    <row r="17" spans="2:4" ht="15" x14ac:dyDescent="0.2">
      <c r="B17" s="12"/>
      <c r="D17" s="12">
        <f>171*2</f>
        <v>342</v>
      </c>
    </row>
    <row r="18" spans="2:4" ht="15" x14ac:dyDescent="0.2">
      <c r="B18" s="12"/>
      <c r="D18" s="12">
        <v>440</v>
      </c>
    </row>
    <row r="19" spans="2:4" ht="15" x14ac:dyDescent="0.2">
      <c r="B19" s="12"/>
      <c r="D19" s="12">
        <v>926</v>
      </c>
    </row>
    <row r="21" spans="2:4" ht="15.75" customHeight="1" x14ac:dyDescent="0.15"/>
    <row r="22" spans="2:4" ht="15.75" customHeight="1" x14ac:dyDescent="0.15"/>
    <row r="23" spans="2:4" ht="15.75" customHeight="1" x14ac:dyDescent="0.15"/>
    <row r="24" spans="2:4" ht="15.75" customHeight="1" x14ac:dyDescent="0.15"/>
    <row r="25" spans="2:4" ht="15.75" customHeight="1" x14ac:dyDescent="0.15"/>
    <row r="26" spans="2:4" ht="15.75" customHeight="1" x14ac:dyDescent="0.15"/>
    <row r="27" spans="2:4" ht="15.75" customHeight="1" x14ac:dyDescent="0.15"/>
    <row r="28" spans="2:4" ht="15.75" customHeight="1" x14ac:dyDescent="0.15"/>
    <row r="29" spans="2:4" ht="15.75" customHeight="1" x14ac:dyDescent="0.15"/>
    <row r="30" spans="2:4" ht="15.75" customHeight="1" x14ac:dyDescent="0.15"/>
    <row r="31" spans="2:4" ht="15.75" customHeight="1" x14ac:dyDescent="0.15"/>
    <row r="32" spans="2:4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6c04a875-6eb2-484b-a14b-e2519851b720}" enabled="1" method="Standard" siteId="{14cb4ab4-62b8-45a2-a944-e225383ee1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Principal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Cristina Fernandez Quintero</dc:creator>
  <cp:keywords/>
  <dc:description/>
  <cp:lastModifiedBy>David Moreno Castillo</cp:lastModifiedBy>
  <cp:revision>17</cp:revision>
  <dcterms:created xsi:type="dcterms:W3CDTF">2021-02-10T08:06:31Z</dcterms:created>
  <dcterms:modified xsi:type="dcterms:W3CDTF">2026-04-16T23:08:20Z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04a875-6eb2-484b-a14b-e2519851b720_Enabled">
    <vt:lpwstr>true</vt:lpwstr>
  </property>
  <property fmtid="{D5CDD505-2E9C-101B-9397-08002B2CF9AE}" pid="3" name="MSIP_Label_6c04a875-6eb2-484b-a14b-e2519851b720_SetDate">
    <vt:lpwstr>2022-06-08T14:26:55Z</vt:lpwstr>
  </property>
  <property fmtid="{D5CDD505-2E9C-101B-9397-08002B2CF9AE}" pid="4" name="MSIP_Label_6c04a875-6eb2-484b-a14b-e2519851b720_Method">
    <vt:lpwstr>Standard</vt:lpwstr>
  </property>
  <property fmtid="{D5CDD505-2E9C-101B-9397-08002B2CF9AE}" pid="5" name="MSIP_Label_6c04a875-6eb2-484b-a14b-e2519851b720_Name">
    <vt:lpwstr>External</vt:lpwstr>
  </property>
  <property fmtid="{D5CDD505-2E9C-101B-9397-08002B2CF9AE}" pid="6" name="MSIP_Label_6c04a875-6eb2-484b-a14b-e2519851b720_SiteId">
    <vt:lpwstr>14cb4ab4-62b8-45a2-a944-e225383ee1f9</vt:lpwstr>
  </property>
  <property fmtid="{D5CDD505-2E9C-101B-9397-08002B2CF9AE}" pid="7" name="MSIP_Label_6c04a875-6eb2-484b-a14b-e2519851b720_ActionId">
    <vt:lpwstr>cc25569e-9d5d-4f56-bf86-9dc43cc773a7</vt:lpwstr>
  </property>
  <property fmtid="{D5CDD505-2E9C-101B-9397-08002B2CF9AE}" pid="8" name="MSIP_Label_6c04a875-6eb2-484b-a14b-e2519851b720_ContentBits">
    <vt:lpwstr>0</vt:lpwstr>
  </property>
</Properties>
</file>